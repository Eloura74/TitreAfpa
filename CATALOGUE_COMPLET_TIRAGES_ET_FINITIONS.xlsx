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FABIEN LICATA PHOTOGRAPHIE\Administratif micro-entreprise\TARIFS TTC TIRAGES\"/>
    </mc:Choice>
  </mc:AlternateContent>
  <xr:revisionPtr revIDLastSave="0" documentId="13_ncr:1_{B639CBFB-4DBE-4AD3-B78E-22FD72844DA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CATALOGUE COMPL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E44" i="1" s="1"/>
  <c r="F44" i="1" s="1"/>
  <c r="G44" i="1" s="1"/>
  <c r="D43" i="1"/>
  <c r="E43" i="1" s="1"/>
  <c r="F43" i="1" s="1"/>
  <c r="G43" i="1" s="1"/>
  <c r="D42" i="1"/>
  <c r="E42" i="1" s="1"/>
  <c r="F42" i="1" s="1"/>
  <c r="G42" i="1" s="1"/>
  <c r="D41" i="1"/>
  <c r="E41" i="1" s="1"/>
  <c r="F41" i="1" s="1"/>
  <c r="G41" i="1" s="1"/>
  <c r="D40" i="1"/>
  <c r="E40" i="1" s="1"/>
  <c r="F40" i="1" s="1"/>
  <c r="G40" i="1" s="1"/>
  <c r="D39" i="1"/>
  <c r="E39" i="1" s="1"/>
  <c r="F39" i="1" s="1"/>
  <c r="G39" i="1" s="1"/>
  <c r="D38" i="1"/>
  <c r="E38" i="1" s="1"/>
  <c r="F38" i="1" s="1"/>
  <c r="G38" i="1" s="1"/>
  <c r="D37" i="1"/>
  <c r="E37" i="1" s="1"/>
  <c r="F37" i="1" s="1"/>
  <c r="G37" i="1" s="1"/>
  <c r="D36" i="1"/>
  <c r="E36" i="1" s="1"/>
  <c r="F36" i="1" s="1"/>
  <c r="G36" i="1" s="1"/>
  <c r="D35" i="1"/>
  <c r="E35" i="1" s="1"/>
  <c r="F35" i="1" s="1"/>
  <c r="G35" i="1" s="1"/>
  <c r="D34" i="1"/>
  <c r="E34" i="1" s="1"/>
  <c r="F34" i="1" s="1"/>
  <c r="G34" i="1" s="1"/>
  <c r="D33" i="1"/>
  <c r="E33" i="1" s="1"/>
  <c r="F33" i="1" s="1"/>
  <c r="G33" i="1" s="1"/>
  <c r="D32" i="1"/>
  <c r="E32" i="1" s="1"/>
  <c r="F32" i="1" s="1"/>
  <c r="G32" i="1" s="1"/>
  <c r="D31" i="1"/>
  <c r="E31" i="1" s="1"/>
  <c r="F31" i="1" s="1"/>
  <c r="G31" i="1" s="1"/>
  <c r="D30" i="1"/>
  <c r="E30" i="1" s="1"/>
  <c r="F30" i="1" s="1"/>
  <c r="G30" i="1" s="1"/>
  <c r="D29" i="1"/>
  <c r="E29" i="1" s="1"/>
  <c r="F29" i="1" s="1"/>
  <c r="G29" i="1" s="1"/>
  <c r="D28" i="1"/>
  <c r="E28" i="1" s="1"/>
  <c r="F28" i="1" s="1"/>
  <c r="G28" i="1" s="1"/>
  <c r="D27" i="1"/>
  <c r="E27" i="1" s="1"/>
  <c r="F27" i="1" s="1"/>
  <c r="G27" i="1" s="1"/>
  <c r="D26" i="1"/>
  <c r="E26" i="1" s="1"/>
  <c r="F26" i="1" s="1"/>
  <c r="G26" i="1" s="1"/>
  <c r="D25" i="1"/>
  <c r="E25" i="1" s="1"/>
  <c r="F25" i="1" s="1"/>
  <c r="G25" i="1" s="1"/>
  <c r="D24" i="1"/>
  <c r="E24" i="1" s="1"/>
  <c r="F24" i="1" s="1"/>
  <c r="G24" i="1" s="1"/>
  <c r="D23" i="1"/>
  <c r="E23" i="1" s="1"/>
  <c r="F23" i="1" s="1"/>
  <c r="G23" i="1" s="1"/>
  <c r="D22" i="1"/>
  <c r="E22" i="1" s="1"/>
  <c r="F22" i="1" s="1"/>
  <c r="G22" i="1" s="1"/>
  <c r="D21" i="1"/>
  <c r="E21" i="1" s="1"/>
  <c r="F21" i="1" s="1"/>
  <c r="G21" i="1" s="1"/>
  <c r="D20" i="1"/>
  <c r="E20" i="1" s="1"/>
  <c r="F20" i="1" s="1"/>
  <c r="G20" i="1" s="1"/>
  <c r="D19" i="1"/>
  <c r="E19" i="1" s="1"/>
  <c r="F19" i="1" s="1"/>
  <c r="G19" i="1" s="1"/>
  <c r="D18" i="1"/>
  <c r="E18" i="1" s="1"/>
  <c r="F18" i="1" s="1"/>
  <c r="G18" i="1" s="1"/>
  <c r="D17" i="1"/>
  <c r="E17" i="1" s="1"/>
  <c r="F17" i="1" s="1"/>
  <c r="G17" i="1" s="1"/>
  <c r="D16" i="1"/>
  <c r="E16" i="1" s="1"/>
  <c r="F16" i="1" s="1"/>
  <c r="G16" i="1" s="1"/>
  <c r="D15" i="1"/>
  <c r="E15" i="1" s="1"/>
  <c r="F15" i="1" s="1"/>
  <c r="G15" i="1" s="1"/>
  <c r="D14" i="1"/>
  <c r="E14" i="1" s="1"/>
  <c r="F14" i="1" s="1"/>
  <c r="G14" i="1" s="1"/>
  <c r="D13" i="1"/>
  <c r="E13" i="1" s="1"/>
  <c r="F13" i="1" s="1"/>
  <c r="G13" i="1" s="1"/>
  <c r="D12" i="1"/>
  <c r="E12" i="1" s="1"/>
  <c r="F12" i="1" s="1"/>
  <c r="G12" i="1" s="1"/>
  <c r="D11" i="1"/>
  <c r="E11" i="1" s="1"/>
  <c r="F11" i="1" s="1"/>
  <c r="G11" i="1" s="1"/>
  <c r="D10" i="1"/>
  <c r="E10" i="1" s="1"/>
  <c r="F10" i="1" s="1"/>
  <c r="G10" i="1" s="1"/>
  <c r="D9" i="1"/>
  <c r="E9" i="1" s="1"/>
  <c r="F9" i="1" s="1"/>
  <c r="G9" i="1" s="1"/>
  <c r="D8" i="1"/>
  <c r="E8" i="1" s="1"/>
  <c r="F8" i="1" s="1"/>
  <c r="G8" i="1" s="1"/>
  <c r="D7" i="1"/>
  <c r="E7" i="1" s="1"/>
  <c r="F7" i="1" s="1"/>
  <c r="G7" i="1" s="1"/>
</calcChain>
</file>

<file path=xl/sharedStrings.xml><?xml version="1.0" encoding="utf-8"?>
<sst xmlns="http://schemas.openxmlformats.org/spreadsheetml/2006/main" count="86" uniqueCount="27">
  <si>
    <t>Paramètres</t>
  </si>
  <si>
    <t>Taux URSSAF</t>
  </si>
  <si>
    <t>Coefficient global</t>
  </si>
  <si>
    <t>Gamme / Finition</t>
  </si>
  <si>
    <t>Format</t>
  </si>
  <si>
    <t>Coût fournisseur TTC (€)</t>
  </si>
  <si>
    <t>Coefficient</t>
  </si>
  <si>
    <t>Prix site (final)</t>
  </si>
  <si>
    <t>Net après URSSAF</t>
  </si>
  <si>
    <t>Marge nette (€)</t>
  </si>
  <si>
    <t>Petits formats</t>
  </si>
  <si>
    <t>10×15</t>
  </si>
  <si>
    <t>20×30</t>
  </si>
  <si>
    <t>30×45</t>
  </si>
  <si>
    <t>20×20</t>
  </si>
  <si>
    <t>30×30</t>
  </si>
  <si>
    <t>Lambda</t>
  </si>
  <si>
    <t>50×75</t>
  </si>
  <si>
    <t>60×90</t>
  </si>
  <si>
    <t>80×120</t>
  </si>
  <si>
    <t>100×100</t>
  </si>
  <si>
    <t>Pigmentaire</t>
  </si>
  <si>
    <t>Dibond</t>
  </si>
  <si>
    <t>Plexi</t>
  </si>
  <si>
    <t>Caisse Américaine</t>
  </si>
  <si>
    <t>Encadrement d'Art</t>
  </si>
  <si>
    <t>Nielsen Sur Mesure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</si>
</sst>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0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2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M12" sqref="M12"/>
    </sheetView>
  </sheetViews>
  <sheetFormatPr baseColWidth="10" defaultColWidth="9.06640625" defaultRowHeight="14.25" x14ac:dyDescent="0.45"/>
  <cols>
    <col min="1" max="1" width="26" customWidth="1"/>
    <col min="2" max="2" width="14" customWidth="1"/>
    <col min="3" max="3" width="24" customWidth="1"/>
    <col min="4" max="4" width="14" customWidth="1"/>
    <col min="5" max="6" width="20" customWidth="1"/>
    <col min="7" max="7" width="18" customWidth="1"/>
  </cols>
  <sheetData>
    <row r="1" spans="1:7" x14ac:dyDescent="0.45">
      <c r="A1" s="1" t="s">
        <v>0</v>
      </c>
    </row>
    <row r="2" spans="1:7" x14ac:dyDescent="0.45">
      <c r="A2" s="1" t="s">
        <v>1</v>
      </c>
      <c r="B2" s="2">
        <v>0.23300000000000001</v>
      </c>
    </row>
    <row r="3" spans="1:7" x14ac:dyDescent="0.45">
      <c r="A3" s="1" t="s">
        <v>2</v>
      </c>
      <c r="B3" s="3">
        <v>2.5</v>
      </c>
    </row>
    <row r="6" spans="1:7" x14ac:dyDescent="0.4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spans="1:7" x14ac:dyDescent="0.45">
      <c r="A7" t="s">
        <v>10</v>
      </c>
      <c r="B7" t="s">
        <v>11</v>
      </c>
      <c r="C7" s="5">
        <v>0.54</v>
      </c>
      <c r="D7" s="5">
        <f t="shared" ref="D7:D44" si="0">$B$3</f>
        <v>2.5</v>
      </c>
      <c r="E7" s="5">
        <f t="shared" ref="E7:E44" si="1">ROUND(C7*D7,2)</f>
        <v>1.35</v>
      </c>
      <c r="F7" s="5">
        <f t="shared" ref="F7:F44" si="2">ROUND(E7*(1-$B$2),2)</f>
        <v>1.04</v>
      </c>
      <c r="G7" s="5">
        <f t="shared" ref="G7:G44" si="3">ROUND(F7-C7,2)</f>
        <v>0.5</v>
      </c>
    </row>
    <row r="8" spans="1:7" x14ac:dyDescent="0.45">
      <c r="A8" t="s">
        <v>10</v>
      </c>
      <c r="B8" t="s">
        <v>12</v>
      </c>
      <c r="C8" s="5">
        <v>1.91</v>
      </c>
      <c r="D8" s="5">
        <f t="shared" si="0"/>
        <v>2.5</v>
      </c>
      <c r="E8" s="5">
        <f t="shared" si="1"/>
        <v>4.78</v>
      </c>
      <c r="F8" s="5">
        <f t="shared" si="2"/>
        <v>3.67</v>
      </c>
      <c r="G8" s="5">
        <f t="shared" si="3"/>
        <v>1.76</v>
      </c>
    </row>
    <row r="9" spans="1:7" x14ac:dyDescent="0.45">
      <c r="A9" t="s">
        <v>10</v>
      </c>
      <c r="B9" t="s">
        <v>13</v>
      </c>
      <c r="C9" s="5">
        <v>4.2</v>
      </c>
      <c r="D9" s="5">
        <f t="shared" si="0"/>
        <v>2.5</v>
      </c>
      <c r="E9" s="5">
        <f t="shared" si="1"/>
        <v>10.5</v>
      </c>
      <c r="F9" s="5">
        <f t="shared" si="2"/>
        <v>8.0500000000000007</v>
      </c>
      <c r="G9" s="5">
        <f t="shared" si="3"/>
        <v>3.85</v>
      </c>
    </row>
    <row r="10" spans="1:7" x14ac:dyDescent="0.45">
      <c r="A10" t="s">
        <v>10</v>
      </c>
      <c r="B10" t="s">
        <v>14</v>
      </c>
      <c r="C10" s="5">
        <v>1.3</v>
      </c>
      <c r="D10" s="5">
        <f t="shared" si="0"/>
        <v>2.5</v>
      </c>
      <c r="E10" s="5">
        <f t="shared" si="1"/>
        <v>3.25</v>
      </c>
      <c r="F10" s="5">
        <f t="shared" si="2"/>
        <v>2.4900000000000002</v>
      </c>
      <c r="G10" s="5">
        <f t="shared" si="3"/>
        <v>1.19</v>
      </c>
    </row>
    <row r="11" spans="1:7" x14ac:dyDescent="0.45">
      <c r="A11" t="s">
        <v>10</v>
      </c>
      <c r="B11" t="s">
        <v>15</v>
      </c>
      <c r="C11" s="5">
        <v>2.83</v>
      </c>
      <c r="D11" s="5">
        <f t="shared" si="0"/>
        <v>2.5</v>
      </c>
      <c r="E11" s="5">
        <f t="shared" si="1"/>
        <v>7.08</v>
      </c>
      <c r="F11" s="5">
        <f t="shared" si="2"/>
        <v>5.43</v>
      </c>
      <c r="G11" s="5">
        <f t="shared" si="3"/>
        <v>2.6</v>
      </c>
    </row>
    <row r="12" spans="1:7" x14ac:dyDescent="0.45">
      <c r="A12" t="s">
        <v>16</v>
      </c>
      <c r="B12" t="s">
        <v>17</v>
      </c>
      <c r="C12" s="5">
        <v>21.08</v>
      </c>
      <c r="D12" s="5">
        <f t="shared" si="0"/>
        <v>2.5</v>
      </c>
      <c r="E12" s="5">
        <f t="shared" si="1"/>
        <v>52.7</v>
      </c>
      <c r="F12" s="5">
        <f t="shared" si="2"/>
        <v>40.42</v>
      </c>
      <c r="G12" s="5">
        <f t="shared" si="3"/>
        <v>19.34</v>
      </c>
    </row>
    <row r="13" spans="1:7" x14ac:dyDescent="0.45">
      <c r="A13" t="s">
        <v>16</v>
      </c>
      <c r="B13" t="s">
        <v>18</v>
      </c>
      <c r="C13" s="5">
        <v>29.58</v>
      </c>
      <c r="D13" s="5">
        <f t="shared" si="0"/>
        <v>2.5</v>
      </c>
      <c r="E13" s="5">
        <f t="shared" si="1"/>
        <v>73.95</v>
      </c>
      <c r="F13" s="5">
        <f t="shared" si="2"/>
        <v>56.72</v>
      </c>
      <c r="G13" s="5">
        <f t="shared" si="3"/>
        <v>27.14</v>
      </c>
    </row>
    <row r="14" spans="1:7" x14ac:dyDescent="0.45">
      <c r="A14" t="s">
        <v>16</v>
      </c>
      <c r="B14" t="s">
        <v>19</v>
      </c>
      <c r="C14" s="5">
        <v>51.17</v>
      </c>
      <c r="D14" s="5">
        <f t="shared" si="0"/>
        <v>2.5</v>
      </c>
      <c r="E14" s="5">
        <f t="shared" si="1"/>
        <v>127.93</v>
      </c>
      <c r="F14" s="5">
        <f t="shared" si="2"/>
        <v>98.12</v>
      </c>
      <c r="G14" s="5">
        <f t="shared" si="3"/>
        <v>46.95</v>
      </c>
    </row>
    <row r="15" spans="1:7" x14ac:dyDescent="0.45">
      <c r="A15" t="s">
        <v>16</v>
      </c>
      <c r="B15" t="s">
        <v>20</v>
      </c>
      <c r="C15" s="5">
        <v>53.22</v>
      </c>
      <c r="D15" s="5">
        <f t="shared" si="0"/>
        <v>2.5</v>
      </c>
      <c r="E15" s="5">
        <f t="shared" si="1"/>
        <v>133.05000000000001</v>
      </c>
      <c r="F15" s="5">
        <f t="shared" si="2"/>
        <v>102.05</v>
      </c>
      <c r="G15" s="5">
        <f t="shared" si="3"/>
        <v>48.83</v>
      </c>
    </row>
    <row r="16" spans="1:7" x14ac:dyDescent="0.45">
      <c r="A16" t="s">
        <v>21</v>
      </c>
      <c r="B16" t="s">
        <v>11</v>
      </c>
      <c r="C16" s="5">
        <v>5.0599999999999996</v>
      </c>
      <c r="D16" s="5">
        <f t="shared" si="0"/>
        <v>2.5</v>
      </c>
      <c r="E16" s="5">
        <f t="shared" si="1"/>
        <v>12.65</v>
      </c>
      <c r="F16" s="5">
        <f t="shared" si="2"/>
        <v>9.6999999999999993</v>
      </c>
      <c r="G16" s="5">
        <f t="shared" si="3"/>
        <v>4.6399999999999997</v>
      </c>
    </row>
    <row r="17" spans="1:7" x14ac:dyDescent="0.45">
      <c r="A17" t="s">
        <v>21</v>
      </c>
      <c r="B17" t="s">
        <v>17</v>
      </c>
      <c r="C17" s="5">
        <v>38.880000000000003</v>
      </c>
      <c r="D17" s="5">
        <f t="shared" si="0"/>
        <v>2.5</v>
      </c>
      <c r="E17" s="5">
        <f t="shared" si="1"/>
        <v>97.2</v>
      </c>
      <c r="F17" s="5">
        <f t="shared" si="2"/>
        <v>74.55</v>
      </c>
      <c r="G17" s="5">
        <f t="shared" si="3"/>
        <v>35.67</v>
      </c>
    </row>
    <row r="18" spans="1:7" x14ac:dyDescent="0.45">
      <c r="A18" t="s">
        <v>21</v>
      </c>
      <c r="B18" t="s">
        <v>18</v>
      </c>
      <c r="C18" s="5">
        <v>54.37</v>
      </c>
      <c r="D18" s="5">
        <f t="shared" si="0"/>
        <v>2.5</v>
      </c>
      <c r="E18" s="5">
        <f t="shared" si="1"/>
        <v>135.93</v>
      </c>
      <c r="F18" s="5">
        <f t="shared" si="2"/>
        <v>104.26</v>
      </c>
      <c r="G18" s="5">
        <f t="shared" si="3"/>
        <v>49.89</v>
      </c>
    </row>
    <row r="19" spans="1:7" x14ac:dyDescent="0.45">
      <c r="A19" t="s">
        <v>21</v>
      </c>
      <c r="B19" t="s">
        <v>19</v>
      </c>
      <c r="C19" s="5">
        <v>93.82</v>
      </c>
      <c r="D19" s="5">
        <f t="shared" si="0"/>
        <v>2.5</v>
      </c>
      <c r="E19" s="5">
        <f t="shared" si="1"/>
        <v>234.55</v>
      </c>
      <c r="F19" s="5">
        <f t="shared" si="2"/>
        <v>179.9</v>
      </c>
      <c r="G19" s="5">
        <f t="shared" si="3"/>
        <v>86.08</v>
      </c>
    </row>
    <row r="20" spans="1:7" x14ac:dyDescent="0.45">
      <c r="A20" t="s">
        <v>21</v>
      </c>
      <c r="B20" t="s">
        <v>20</v>
      </c>
      <c r="C20" s="5">
        <v>97.57</v>
      </c>
      <c r="D20" s="5">
        <f t="shared" si="0"/>
        <v>2.5</v>
      </c>
      <c r="E20" s="5">
        <f t="shared" si="1"/>
        <v>243.93</v>
      </c>
      <c r="F20" s="5">
        <f t="shared" si="2"/>
        <v>187.09</v>
      </c>
      <c r="G20" s="5">
        <f t="shared" si="3"/>
        <v>89.52</v>
      </c>
    </row>
    <row r="21" spans="1:7" x14ac:dyDescent="0.45">
      <c r="A21" t="s">
        <v>22</v>
      </c>
      <c r="B21" t="s">
        <v>14</v>
      </c>
      <c r="C21" s="5">
        <v>43.55</v>
      </c>
      <c r="D21" s="5">
        <f t="shared" si="0"/>
        <v>2.5</v>
      </c>
      <c r="E21" s="5">
        <f t="shared" si="1"/>
        <v>108.88</v>
      </c>
      <c r="F21" s="5">
        <f t="shared" si="2"/>
        <v>83.51</v>
      </c>
      <c r="G21" s="5">
        <f t="shared" si="3"/>
        <v>39.96</v>
      </c>
    </row>
    <row r="22" spans="1:7" x14ac:dyDescent="0.45">
      <c r="A22" t="s">
        <v>22</v>
      </c>
      <c r="B22" t="s">
        <v>17</v>
      </c>
      <c r="C22" s="5">
        <v>89.08</v>
      </c>
      <c r="D22" s="5">
        <f t="shared" si="0"/>
        <v>2.5</v>
      </c>
      <c r="E22" s="5">
        <f t="shared" si="1"/>
        <v>222.7</v>
      </c>
      <c r="F22" s="5">
        <f t="shared" si="2"/>
        <v>170.81</v>
      </c>
      <c r="G22" s="5">
        <f t="shared" si="3"/>
        <v>81.73</v>
      </c>
    </row>
    <row r="23" spans="1:7" x14ac:dyDescent="0.45">
      <c r="A23" t="s">
        <v>22</v>
      </c>
      <c r="B23" t="s">
        <v>18</v>
      </c>
      <c r="C23" s="5">
        <v>111.5</v>
      </c>
      <c r="D23" s="5">
        <f t="shared" si="0"/>
        <v>2.5</v>
      </c>
      <c r="E23" s="5">
        <f t="shared" si="1"/>
        <v>278.75</v>
      </c>
      <c r="F23" s="5">
        <f t="shared" si="2"/>
        <v>213.8</v>
      </c>
      <c r="G23" s="5">
        <f t="shared" si="3"/>
        <v>102.3</v>
      </c>
    </row>
    <row r="24" spans="1:7" x14ac:dyDescent="0.45">
      <c r="A24" t="s">
        <v>22</v>
      </c>
      <c r="B24" t="s">
        <v>19</v>
      </c>
      <c r="C24" s="5">
        <v>168.59</v>
      </c>
      <c r="D24" s="5">
        <f t="shared" si="0"/>
        <v>2.5</v>
      </c>
      <c r="E24" s="5">
        <f t="shared" si="1"/>
        <v>421.48</v>
      </c>
      <c r="F24" s="5">
        <f t="shared" si="2"/>
        <v>323.27999999999997</v>
      </c>
      <c r="G24" s="5">
        <f t="shared" si="3"/>
        <v>154.69</v>
      </c>
    </row>
    <row r="25" spans="1:7" x14ac:dyDescent="0.45">
      <c r="A25" t="s">
        <v>22</v>
      </c>
      <c r="B25" t="s">
        <v>20</v>
      </c>
      <c r="C25" s="5">
        <v>174.02</v>
      </c>
      <c r="D25" s="5">
        <f t="shared" si="0"/>
        <v>2.5</v>
      </c>
      <c r="E25" s="5">
        <f t="shared" si="1"/>
        <v>435.05</v>
      </c>
      <c r="F25" s="5">
        <f t="shared" si="2"/>
        <v>333.68</v>
      </c>
      <c r="G25" s="5">
        <f t="shared" si="3"/>
        <v>159.66</v>
      </c>
    </row>
    <row r="26" spans="1:7" x14ac:dyDescent="0.45">
      <c r="A26" t="s">
        <v>23</v>
      </c>
      <c r="B26" t="s">
        <v>14</v>
      </c>
      <c r="C26" s="5">
        <v>64.44</v>
      </c>
      <c r="D26" s="5">
        <f t="shared" si="0"/>
        <v>2.5</v>
      </c>
      <c r="E26" s="5">
        <f t="shared" si="1"/>
        <v>161.1</v>
      </c>
      <c r="F26" s="5">
        <f t="shared" si="2"/>
        <v>123.56</v>
      </c>
      <c r="G26" s="5">
        <f t="shared" si="3"/>
        <v>59.12</v>
      </c>
    </row>
    <row r="27" spans="1:7" x14ac:dyDescent="0.45">
      <c r="A27" t="s">
        <v>23</v>
      </c>
      <c r="B27" t="s">
        <v>17</v>
      </c>
      <c r="C27" s="5">
        <v>191.4</v>
      </c>
      <c r="D27" s="5">
        <f t="shared" si="0"/>
        <v>2.5</v>
      </c>
      <c r="E27" s="5">
        <f t="shared" si="1"/>
        <v>478.5</v>
      </c>
      <c r="F27" s="5">
        <f t="shared" si="2"/>
        <v>367.01</v>
      </c>
      <c r="G27" s="5">
        <f t="shared" si="3"/>
        <v>175.61</v>
      </c>
    </row>
    <row r="28" spans="1:7" x14ac:dyDescent="0.45">
      <c r="A28" t="s">
        <v>23</v>
      </c>
      <c r="B28" t="s">
        <v>18</v>
      </c>
      <c r="C28" s="5">
        <v>246.97</v>
      </c>
      <c r="D28" s="5">
        <f t="shared" si="0"/>
        <v>2.5</v>
      </c>
      <c r="E28" s="5">
        <f t="shared" si="1"/>
        <v>617.42999999999995</v>
      </c>
      <c r="F28" s="5">
        <f t="shared" si="2"/>
        <v>473.57</v>
      </c>
      <c r="G28" s="5">
        <f t="shared" si="3"/>
        <v>226.6</v>
      </c>
    </row>
    <row r="29" spans="1:7" x14ac:dyDescent="0.45">
      <c r="A29" t="s">
        <v>23</v>
      </c>
      <c r="B29" t="s">
        <v>19</v>
      </c>
      <c r="C29" s="5">
        <v>388.46</v>
      </c>
      <c r="D29" s="5">
        <f t="shared" si="0"/>
        <v>2.5</v>
      </c>
      <c r="E29" s="5">
        <f t="shared" si="1"/>
        <v>971.15</v>
      </c>
      <c r="F29" s="5">
        <f t="shared" si="2"/>
        <v>744.87</v>
      </c>
      <c r="G29" s="5">
        <f t="shared" si="3"/>
        <v>356.41</v>
      </c>
    </row>
    <row r="30" spans="1:7" x14ac:dyDescent="0.45">
      <c r="A30" t="s">
        <v>23</v>
      </c>
      <c r="B30" t="s">
        <v>20</v>
      </c>
      <c r="C30" s="5">
        <v>401.94</v>
      </c>
      <c r="D30" s="5">
        <f t="shared" si="0"/>
        <v>2.5</v>
      </c>
      <c r="E30" s="5">
        <f t="shared" si="1"/>
        <v>1004.85</v>
      </c>
      <c r="F30" s="5">
        <f t="shared" si="2"/>
        <v>770.72</v>
      </c>
      <c r="G30" s="5">
        <f t="shared" si="3"/>
        <v>368.78</v>
      </c>
    </row>
    <row r="31" spans="1:7" x14ac:dyDescent="0.45">
      <c r="A31" t="s">
        <v>24</v>
      </c>
      <c r="B31" t="s">
        <v>14</v>
      </c>
      <c r="C31" s="5">
        <v>97.51</v>
      </c>
      <c r="D31" s="5">
        <f t="shared" si="0"/>
        <v>2.5</v>
      </c>
      <c r="E31" s="5">
        <f t="shared" si="1"/>
        <v>243.78</v>
      </c>
      <c r="F31" s="5">
        <f t="shared" si="2"/>
        <v>186.98</v>
      </c>
      <c r="G31" s="5">
        <f t="shared" si="3"/>
        <v>89.47</v>
      </c>
    </row>
    <row r="32" spans="1:7" x14ac:dyDescent="0.45">
      <c r="A32" t="s">
        <v>24</v>
      </c>
      <c r="B32" t="s">
        <v>17</v>
      </c>
      <c r="C32" s="5">
        <v>251.3</v>
      </c>
      <c r="D32" s="5">
        <f t="shared" si="0"/>
        <v>2.5</v>
      </c>
      <c r="E32" s="5">
        <f t="shared" si="1"/>
        <v>628.25</v>
      </c>
      <c r="F32" s="5">
        <f t="shared" si="2"/>
        <v>481.87</v>
      </c>
      <c r="G32" s="5">
        <f t="shared" si="3"/>
        <v>230.57</v>
      </c>
    </row>
    <row r="33" spans="1:7" x14ac:dyDescent="0.45">
      <c r="A33" t="s">
        <v>24</v>
      </c>
      <c r="B33" t="s">
        <v>18</v>
      </c>
      <c r="C33" s="5">
        <v>310.51</v>
      </c>
      <c r="D33" s="5">
        <f t="shared" si="0"/>
        <v>2.5</v>
      </c>
      <c r="E33" s="5">
        <f t="shared" si="1"/>
        <v>776.28</v>
      </c>
      <c r="F33" s="5">
        <f t="shared" si="2"/>
        <v>595.41</v>
      </c>
      <c r="G33" s="5">
        <f t="shared" si="3"/>
        <v>284.89999999999998</v>
      </c>
    </row>
    <row r="34" spans="1:7" x14ac:dyDescent="0.45">
      <c r="A34" t="s">
        <v>24</v>
      </c>
      <c r="B34" t="s">
        <v>19</v>
      </c>
      <c r="C34" s="5">
        <v>442.25</v>
      </c>
      <c r="D34" s="5">
        <f t="shared" si="0"/>
        <v>2.5</v>
      </c>
      <c r="E34" s="5">
        <f t="shared" si="1"/>
        <v>1105.6300000000001</v>
      </c>
      <c r="F34" s="5">
        <f t="shared" si="2"/>
        <v>848.02</v>
      </c>
      <c r="G34" s="5">
        <f t="shared" si="3"/>
        <v>405.77</v>
      </c>
    </row>
    <row r="35" spans="1:7" x14ac:dyDescent="0.45">
      <c r="A35" t="s">
        <v>24</v>
      </c>
      <c r="B35" t="s">
        <v>20</v>
      </c>
      <c r="C35" s="5">
        <v>448.19</v>
      </c>
      <c r="D35" s="5">
        <f t="shared" si="0"/>
        <v>2.5</v>
      </c>
      <c r="E35" s="5">
        <f t="shared" si="1"/>
        <v>1120.48</v>
      </c>
      <c r="F35" s="5">
        <f t="shared" si="2"/>
        <v>859.41</v>
      </c>
      <c r="G35" s="5">
        <f t="shared" si="3"/>
        <v>411.22</v>
      </c>
    </row>
    <row r="36" spans="1:7" x14ac:dyDescent="0.45">
      <c r="A36" t="s">
        <v>25</v>
      </c>
      <c r="B36" t="s">
        <v>14</v>
      </c>
      <c r="C36" s="5">
        <v>139.85</v>
      </c>
      <c r="D36" s="5">
        <f t="shared" si="0"/>
        <v>2.5</v>
      </c>
      <c r="E36" s="5">
        <f t="shared" si="1"/>
        <v>349.63</v>
      </c>
      <c r="F36" s="5">
        <f t="shared" si="2"/>
        <v>268.17</v>
      </c>
      <c r="G36" s="5">
        <f t="shared" si="3"/>
        <v>128.32</v>
      </c>
    </row>
    <row r="37" spans="1:7" x14ac:dyDescent="0.45">
      <c r="A37" t="s">
        <v>25</v>
      </c>
      <c r="B37" t="s">
        <v>17</v>
      </c>
      <c r="C37" s="5">
        <v>369.73</v>
      </c>
      <c r="D37" s="5">
        <f t="shared" si="0"/>
        <v>2.5</v>
      </c>
      <c r="E37" s="5">
        <f t="shared" si="1"/>
        <v>924.33</v>
      </c>
      <c r="F37" s="5">
        <f t="shared" si="2"/>
        <v>708.96</v>
      </c>
      <c r="G37" s="5">
        <f t="shared" si="3"/>
        <v>339.23</v>
      </c>
    </row>
    <row r="38" spans="1:7" x14ac:dyDescent="0.45">
      <c r="A38" t="s">
        <v>25</v>
      </c>
      <c r="B38" t="s">
        <v>18</v>
      </c>
      <c r="C38" s="5">
        <v>458.45</v>
      </c>
      <c r="D38" s="5">
        <f t="shared" si="0"/>
        <v>2.5</v>
      </c>
      <c r="E38" s="5">
        <f t="shared" si="1"/>
        <v>1146.1300000000001</v>
      </c>
      <c r="F38" s="5">
        <f t="shared" si="2"/>
        <v>879.08</v>
      </c>
      <c r="G38" s="5">
        <f t="shared" si="3"/>
        <v>420.63</v>
      </c>
    </row>
    <row r="39" spans="1:7" x14ac:dyDescent="0.45">
      <c r="A39" t="s">
        <v>25</v>
      </c>
      <c r="B39" t="s">
        <v>19</v>
      </c>
      <c r="C39" s="5">
        <v>657.82</v>
      </c>
      <c r="D39" s="5">
        <f t="shared" si="0"/>
        <v>2.5</v>
      </c>
      <c r="E39" s="5">
        <f t="shared" si="1"/>
        <v>1644.55</v>
      </c>
      <c r="F39" s="5">
        <f t="shared" si="2"/>
        <v>1261.3699999999999</v>
      </c>
      <c r="G39" s="5">
        <f t="shared" si="3"/>
        <v>603.54999999999995</v>
      </c>
    </row>
    <row r="40" spans="1:7" x14ac:dyDescent="0.45">
      <c r="A40" t="s">
        <v>25</v>
      </c>
      <c r="B40" t="s">
        <v>20</v>
      </c>
      <c r="C40" s="5">
        <v>566.03</v>
      </c>
      <c r="D40" s="5">
        <f t="shared" si="0"/>
        <v>2.5</v>
      </c>
      <c r="E40" s="5">
        <f t="shared" si="1"/>
        <v>1415.08</v>
      </c>
      <c r="F40" s="5">
        <f t="shared" si="2"/>
        <v>1085.3699999999999</v>
      </c>
      <c r="G40" s="5">
        <f t="shared" si="3"/>
        <v>519.34</v>
      </c>
    </row>
    <row r="41" spans="1:7" x14ac:dyDescent="0.45">
      <c r="A41" t="s">
        <v>26</v>
      </c>
      <c r="B41" t="s">
        <v>17</v>
      </c>
      <c r="C41" s="5">
        <v>229.98</v>
      </c>
      <c r="D41" s="5">
        <f t="shared" si="0"/>
        <v>2.5</v>
      </c>
      <c r="E41" s="5">
        <f t="shared" si="1"/>
        <v>574.95000000000005</v>
      </c>
      <c r="F41" s="5">
        <f t="shared" si="2"/>
        <v>440.99</v>
      </c>
      <c r="G41" s="5">
        <f t="shared" si="3"/>
        <v>211.01</v>
      </c>
    </row>
    <row r="42" spans="1:7" x14ac:dyDescent="0.45">
      <c r="A42" t="s">
        <v>26</v>
      </c>
      <c r="B42" t="s">
        <v>18</v>
      </c>
      <c r="C42" s="5">
        <v>280.33999999999997</v>
      </c>
      <c r="D42" s="5">
        <f t="shared" si="0"/>
        <v>2.5</v>
      </c>
      <c r="E42" s="5">
        <f t="shared" si="1"/>
        <v>700.85</v>
      </c>
      <c r="F42" s="5">
        <f t="shared" si="2"/>
        <v>537.54999999999995</v>
      </c>
      <c r="G42" s="5">
        <f t="shared" si="3"/>
        <v>257.20999999999998</v>
      </c>
    </row>
    <row r="43" spans="1:7" x14ac:dyDescent="0.45">
      <c r="A43" t="s">
        <v>26</v>
      </c>
      <c r="B43" t="s">
        <v>19</v>
      </c>
      <c r="C43" s="5">
        <v>358.3</v>
      </c>
      <c r="D43" s="5">
        <f t="shared" si="0"/>
        <v>2.5</v>
      </c>
      <c r="E43" s="5">
        <f t="shared" si="1"/>
        <v>895.75</v>
      </c>
      <c r="F43" s="5">
        <f t="shared" si="2"/>
        <v>687.04</v>
      </c>
      <c r="G43" s="5">
        <f t="shared" si="3"/>
        <v>328.74</v>
      </c>
    </row>
    <row r="44" spans="1:7" x14ac:dyDescent="0.45">
      <c r="A44" t="s">
        <v>26</v>
      </c>
      <c r="B44" t="s">
        <v>20</v>
      </c>
      <c r="C44" s="5">
        <v>279.22000000000003</v>
      </c>
      <c r="D44" s="5">
        <f t="shared" si="0"/>
        <v>2.5</v>
      </c>
      <c r="E44" s="5">
        <f t="shared" si="1"/>
        <v>698.05</v>
      </c>
      <c r="F44" s="5">
        <f t="shared" si="2"/>
        <v>535.4</v>
      </c>
      <c r="G44" s="5">
        <f t="shared" si="3"/>
        <v>256.18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CATALOGUE 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Fabien LICATA</cp:lastModifiedBy>
  <dcterms:created xsi:type="dcterms:W3CDTF">2026-02-16T17:23:17Z</dcterms:created>
  <dcterms:modified xsi:type="dcterms:W3CDTF">2026-02-16T17:25:15Z</dcterms:modified>
</cp:coreProperties>
</file>